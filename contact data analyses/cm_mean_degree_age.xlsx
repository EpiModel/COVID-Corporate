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arc48\git\COVID-Corporate\COVID-Corporate\"/>
    </mc:Choice>
  </mc:AlternateContent>
  <xr:revisionPtr revIDLastSave="0" documentId="13_ncr:1_{FDC7EE2D-9205-4821-BA7D-B500EB2C558D}" xr6:coauthVersionLast="36" xr6:coauthVersionMax="36" xr10:uidLastSave="{00000000-0000-0000-0000-000000000000}"/>
  <bookViews>
    <workbookView xWindow="0" yWindow="0" windowWidth="14380" windowHeight="4070" xr2:uid="{00000000-000D-0000-FFFF-FFFF00000000}"/>
  </bookViews>
  <sheets>
    <sheet name="cm_mean_degree_age" sheetId="1" r:id="rId1"/>
  </sheets>
  <calcPr calcId="191029"/>
</workbook>
</file>

<file path=xl/calcChain.xml><?xml version="1.0" encoding="utf-8"?>
<calcChain xmlns="http://schemas.openxmlformats.org/spreadsheetml/2006/main">
  <c r="AE27" i="1" l="1"/>
  <c r="Y24" i="1"/>
  <c r="Z24" i="1"/>
  <c r="AA24" i="1"/>
  <c r="AB24" i="1"/>
  <c r="AC24" i="1"/>
  <c r="AD24" i="1"/>
  <c r="AE24" i="1"/>
  <c r="Y25" i="1"/>
  <c r="Z25" i="1"/>
  <c r="AA25" i="1"/>
  <c r="AB25" i="1"/>
  <c r="AC25" i="1"/>
  <c r="AD25" i="1"/>
  <c r="AE25" i="1"/>
  <c r="Y26" i="1"/>
  <c r="Z26" i="1"/>
  <c r="AA26" i="1"/>
  <c r="AB26" i="1"/>
  <c r="AC26" i="1"/>
  <c r="AD26" i="1"/>
  <c r="AE26" i="1"/>
  <c r="Y27" i="1"/>
  <c r="Z27" i="1"/>
  <c r="AA27" i="1"/>
  <c r="AB27" i="1"/>
  <c r="AC27" i="1"/>
  <c r="AD27" i="1"/>
  <c r="Z23" i="1"/>
  <c r="AA23" i="1"/>
  <c r="AB23" i="1"/>
  <c r="AC23" i="1"/>
  <c r="AD23" i="1"/>
  <c r="AE23" i="1"/>
  <c r="Y23" i="1"/>
  <c r="T22" i="1" l="1"/>
  <c r="T21" i="1" s="1"/>
  <c r="S22" i="1"/>
  <c r="S21" i="1" s="1"/>
</calcChain>
</file>

<file path=xl/sharedStrings.xml><?xml version="1.0" encoding="utf-8"?>
<sst xmlns="http://schemas.openxmlformats.org/spreadsheetml/2006/main" count="355" uniqueCount="30">
  <si>
    <t>location</t>
  </si>
  <si>
    <t>p_age</t>
  </si>
  <si>
    <t>contact_age</t>
  </si>
  <si>
    <t>n_participants</t>
  </si>
  <si>
    <t>n_contacts</t>
  </si>
  <si>
    <t>degree</t>
  </si>
  <si>
    <t>total_degree</t>
  </si>
  <si>
    <t>prop_degree</t>
  </si>
  <si>
    <t>round</t>
  </si>
  <si>
    <t>Home</t>
  </si>
  <si>
    <t>20-29</t>
  </si>
  <si>
    <t>&lt;20</t>
  </si>
  <si>
    <t>30-39</t>
  </si>
  <si>
    <t>40-49</t>
  </si>
  <si>
    <t>50-59</t>
  </si>
  <si>
    <t>60+</t>
  </si>
  <si>
    <t>Work</t>
  </si>
  <si>
    <t>Community</t>
  </si>
  <si>
    <t>0-9</t>
  </si>
  <si>
    <t>10-19</t>
  </si>
  <si>
    <t>contact.ag</t>
  </si>
  <si>
    <t>e.group</t>
  </si>
  <si>
    <t>age.group</t>
  </si>
  <si>
    <t>[0,10)</t>
  </si>
  <si>
    <t>[10,20)</t>
  </si>
  <si>
    <t>[20,30)</t>
  </si>
  <si>
    <t>[30,40)</t>
  </si>
  <si>
    <t>[40,50)</t>
  </si>
  <si>
    <t>[50,60)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</si>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</sst>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0">
    <xf numFmtId="0" fontId="0" fillId="0" borderId="0" xfId="0"/>
    <xf numFmtId="0" fontId="16" fillId="0" borderId="0" xfId="0" applyFont="1"/>
    <xf numFmtId="0" fontId="0" fillId="33" borderId="0" xfId="0" applyFill="1"/>
    <xf numFmtId="0" fontId="0" fillId="34" borderId="0" xfId="0" applyFill="1"/>
    <xf numFmtId="2" fontId="0" fillId="34" borderId="0" xfId="0" applyNumberFormat="1" applyFill="1"/>
    <xf numFmtId="0" fontId="0" fillId="35" borderId="0" xfId="0" applyFill="1"/>
    <xf numFmtId="2" fontId="0" fillId="35" borderId="0" xfId="0" applyNumberFormat="1" applyFill="1"/>
    <xf numFmtId="0" fontId="0" fillId="33" borderId="10" xfId="0" applyFill="1" applyBorder="1"/>
    <xf numFmtId="0" fontId="0" fillId="33" borderId="11" xfId="0" applyFill="1" applyBorder="1"/>
    <xf numFmtId="2" fontId="0" fillId="33" borderId="11" xfId="0" applyNumberFormat="1" applyFill="1" applyBorder="1"/>
    <xf numFmtId="0" fontId="0" fillId="33" borderId="12" xfId="0" applyFill="1" applyBorder="1"/>
    <xf numFmtId="0" fontId="16" fillId="33" borderId="13" xfId="0" applyFont="1" applyFill="1" applyBorder="1"/>
    <xf numFmtId="0" fontId="16" fillId="33" borderId="0" xfId="0" applyFont="1" applyFill="1" applyBorder="1"/>
    <xf numFmtId="2" fontId="16" fillId="33" borderId="0" xfId="0" applyNumberFormat="1" applyFont="1" applyFill="1" applyBorder="1"/>
    <xf numFmtId="0" fontId="16" fillId="33" borderId="14" xfId="0" applyFont="1" applyFill="1" applyBorder="1"/>
    <xf numFmtId="0" fontId="0" fillId="33" borderId="13" xfId="0" applyFill="1" applyBorder="1"/>
    <xf numFmtId="0" fontId="0" fillId="33" borderId="0" xfId="0" applyFill="1" applyBorder="1"/>
    <xf numFmtId="2" fontId="0" fillId="33" borderId="0" xfId="0" applyNumberFormat="1" applyFill="1" applyBorder="1"/>
    <xf numFmtId="0" fontId="0" fillId="33" borderId="14" xfId="0" applyFill="1" applyBorder="1"/>
    <xf numFmtId="0" fontId="0" fillId="33" borderId="15" xfId="0" applyFill="1" applyBorder="1"/>
    <xf numFmtId="0" fontId="0" fillId="33" borderId="16" xfId="0" applyFill="1" applyBorder="1"/>
    <xf numFmtId="2" fontId="0" fillId="33" borderId="16" xfId="0" applyNumberFormat="1" applyFill="1" applyBorder="1"/>
    <xf numFmtId="0" fontId="0" fillId="33" borderId="17" xfId="0" applyFill="1" applyBorder="1"/>
    <xf numFmtId="0" fontId="0" fillId="34" borderId="10" xfId="0" applyFill="1" applyBorder="1"/>
    <xf numFmtId="0" fontId="0" fillId="34" borderId="11" xfId="0" applyFill="1" applyBorder="1"/>
    <xf numFmtId="2" fontId="0" fillId="34" borderId="11" xfId="0" applyNumberFormat="1" applyFill="1" applyBorder="1"/>
    <xf numFmtId="0" fontId="0" fillId="34" borderId="12" xfId="0" applyFill="1" applyBorder="1"/>
    <xf numFmtId="0" fontId="0" fillId="34" borderId="13" xfId="0" applyFill="1" applyBorder="1"/>
    <xf numFmtId="0" fontId="0" fillId="34" borderId="0" xfId="0" applyFill="1" applyBorder="1"/>
    <xf numFmtId="2" fontId="0" fillId="34" borderId="0" xfId="0" applyNumberFormat="1" applyFill="1" applyBorder="1"/>
    <xf numFmtId="0" fontId="0" fillId="34" borderId="14" xfId="0" applyFill="1" applyBorder="1"/>
    <xf numFmtId="0" fontId="0" fillId="34" borderId="15" xfId="0" applyFill="1" applyBorder="1"/>
    <xf numFmtId="0" fontId="0" fillId="34" borderId="16" xfId="0" applyFill="1" applyBorder="1"/>
    <xf numFmtId="2" fontId="0" fillId="34" borderId="16" xfId="0" applyNumberFormat="1" applyFill="1" applyBorder="1"/>
    <xf numFmtId="0" fontId="0" fillId="34" borderId="17" xfId="0" applyFill="1" applyBorder="1"/>
    <xf numFmtId="0" fontId="0" fillId="35" borderId="10" xfId="0" applyFill="1" applyBorder="1"/>
    <xf numFmtId="0" fontId="0" fillId="35" borderId="11" xfId="0" applyFill="1" applyBorder="1"/>
    <xf numFmtId="2" fontId="0" fillId="35" borderId="11" xfId="0" applyNumberFormat="1" applyFill="1" applyBorder="1"/>
    <xf numFmtId="0" fontId="0" fillId="35" borderId="12" xfId="0" applyFill="1" applyBorder="1"/>
    <xf numFmtId="0" fontId="0" fillId="35" borderId="13" xfId="0" applyFill="1" applyBorder="1"/>
    <xf numFmtId="0" fontId="0" fillId="35" borderId="0" xfId="0" applyFill="1" applyBorder="1"/>
    <xf numFmtId="2" fontId="0" fillId="35" borderId="0" xfId="0" applyNumberFormat="1" applyFill="1" applyBorder="1"/>
    <xf numFmtId="0" fontId="0" fillId="35" borderId="14" xfId="0" applyFill="1" applyBorder="1"/>
    <xf numFmtId="0" fontId="0" fillId="35" borderId="15" xfId="0" applyFill="1" applyBorder="1"/>
    <xf numFmtId="0" fontId="0" fillId="35" borderId="16" xfId="0" applyFill="1" applyBorder="1"/>
    <xf numFmtId="2" fontId="0" fillId="35" borderId="16" xfId="0" applyNumberFormat="1" applyFill="1" applyBorder="1"/>
    <xf numFmtId="0" fontId="0" fillId="35" borderId="17" xfId="0" applyFill="1" applyBorder="1"/>
    <xf numFmtId="0" fontId="16" fillId="0" borderId="14" xfId="0" applyFont="1" applyBorder="1"/>
    <xf numFmtId="0" fontId="16" fillId="33" borderId="15" xfId="0" applyFont="1" applyFill="1" applyBorder="1"/>
    <xf numFmtId="0" fontId="16" fillId="33" borderId="16" xfId="0" applyFont="1" applyFill="1" applyBorder="1"/>
    <xf numFmtId="2" fontId="16" fillId="33" borderId="16" xfId="0" applyNumberFormat="1" applyFont="1" applyFill="1" applyBorder="1"/>
    <xf numFmtId="0" fontId="16" fillId="33" borderId="17" xfId="0" applyFont="1" applyFill="1" applyBorder="1"/>
    <xf numFmtId="0" fontId="16" fillId="34" borderId="13" xfId="0" applyFont="1" applyFill="1" applyBorder="1"/>
    <xf numFmtId="0" fontId="16" fillId="34" borderId="0" xfId="0" applyFont="1" applyFill="1" applyBorder="1"/>
    <xf numFmtId="2" fontId="16" fillId="34" borderId="0" xfId="0" applyNumberFormat="1" applyFont="1" applyFill="1" applyBorder="1"/>
    <xf numFmtId="0" fontId="16" fillId="34" borderId="14" xfId="0" applyFont="1" applyFill="1" applyBorder="1"/>
    <xf numFmtId="0" fontId="16" fillId="34" borderId="0" xfId="0" applyFont="1" applyFill="1"/>
    <xf numFmtId="2" fontId="16" fillId="34" borderId="0" xfId="0" applyNumberFormat="1" applyFont="1" applyFill="1"/>
    <xf numFmtId="0" fontId="16" fillId="34" borderId="15" xfId="0" applyFont="1" applyFill="1" applyBorder="1"/>
    <xf numFmtId="0" fontId="16" fillId="34" borderId="16" xfId="0" applyFont="1" applyFill="1" applyBorder="1"/>
    <xf numFmtId="2" fontId="16" fillId="34" borderId="16" xfId="0" applyNumberFormat="1" applyFont="1" applyFill="1" applyBorder="1"/>
    <xf numFmtId="0" fontId="16" fillId="34" borderId="17" xfId="0" applyFont="1" applyFill="1" applyBorder="1"/>
    <xf numFmtId="0" fontId="16" fillId="35" borderId="0" xfId="0" applyFont="1" applyFill="1"/>
    <xf numFmtId="2" fontId="16" fillId="35" borderId="0" xfId="0" applyNumberFormat="1" applyFont="1" applyFill="1"/>
    <xf numFmtId="0" fontId="16" fillId="35" borderId="14" xfId="0" applyFont="1" applyFill="1" applyBorder="1"/>
    <xf numFmtId="0" fontId="16" fillId="35" borderId="13" xfId="0" applyFont="1" applyFill="1" applyBorder="1"/>
    <xf numFmtId="0" fontId="16" fillId="35" borderId="0" xfId="0" applyFont="1" applyFill="1" applyBorder="1"/>
    <xf numFmtId="2" fontId="16" fillId="35" borderId="0" xfId="0" applyNumberFormat="1" applyFont="1" applyFill="1" applyBorder="1"/>
    <xf numFmtId="0" fontId="16" fillId="35" borderId="16" xfId="0" applyFont="1" applyFill="1" applyBorder="1"/>
    <xf numFmtId="2" fontId="16" fillId="35" borderId="16" xfId="0" applyNumberFormat="1" applyFont="1" applyFill="1" applyBorder="1"/>
    <xf numFmtId="0" fontId="16" fillId="35" borderId="17" xfId="0" applyFont="1" applyFill="1" applyBorder="1"/>
    <xf numFmtId="2" fontId="18" fillId="33" borderId="0" xfId="0" applyNumberFormat="1" applyFont="1" applyFill="1" applyBorder="1"/>
    <xf numFmtId="2" fontId="14" fillId="33" borderId="11" xfId="0" applyNumberFormat="1" applyFont="1" applyFill="1" applyBorder="1"/>
    <xf numFmtId="2" fontId="18" fillId="33" borderId="16" xfId="0" applyNumberFormat="1" applyFont="1" applyFill="1" applyBorder="1"/>
    <xf numFmtId="2" fontId="14" fillId="34" borderId="0" xfId="0" applyNumberFormat="1" applyFont="1" applyFill="1"/>
    <xf numFmtId="2" fontId="18" fillId="34" borderId="0" xfId="0" applyNumberFormat="1" applyFont="1" applyFill="1"/>
    <xf numFmtId="2" fontId="14" fillId="34" borderId="0" xfId="0" applyNumberFormat="1" applyFont="1" applyFill="1" applyBorder="1"/>
    <xf numFmtId="2" fontId="18" fillId="34" borderId="0" xfId="0" applyNumberFormat="1" applyFont="1" applyFill="1" applyBorder="1"/>
    <xf numFmtId="2" fontId="18" fillId="35" borderId="0" xfId="0" applyNumberFormat="1" applyFont="1" applyFill="1"/>
    <xf numFmtId="2" fontId="14" fillId="35" borderId="0" xfId="0" applyNumberFormat="1" applyFont="1" applyFill="1"/>
    <xf numFmtId="2" fontId="14" fillId="35" borderId="0" xfId="0" applyNumberFormat="1" applyFont="1" applyFill="1" applyBorder="1"/>
    <xf numFmtId="2" fontId="18" fillId="35" borderId="0" xfId="0" applyNumberFormat="1" applyFont="1" applyFill="1" applyBorder="1"/>
    <xf numFmtId="2" fontId="19" fillId="35" borderId="0" xfId="0" applyNumberFormat="1" applyFont="1" applyFill="1"/>
    <xf numFmtId="0" fontId="0" fillId="36" borderId="0" xfId="0" applyFill="1"/>
    <xf numFmtId="0" fontId="0" fillId="0" borderId="0" xfId="0" applyFill="1" applyBorder="1"/>
    <xf numFmtId="49" fontId="0" fillId="33" borderId="0" xfId="0" applyNumberFormat="1" applyFill="1"/>
    <xf numFmtId="49" fontId="0" fillId="33" borderId="0" xfId="0" applyNumberFormat="1" applyFill="1" applyBorder="1"/>
    <xf numFmtId="0" fontId="0" fillId="33" borderId="0" xfId="0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1"/>
  <sheetViews>
    <sheetView tabSelected="1" workbookViewId="0">
      <pane ySplit="1" topLeftCell="A2" activePane="bottomLeft" state="frozen"/>
      <selection pane="bottomLeft" activeCell="H29" sqref="H29"/>
    </sheetView>
  </sheetViews>
  <sheetFormatPr defaultRowHeight="14.5" x14ac:dyDescent="0.35"/>
  <cols>
    <col min="1" max="1" width="10.7265625" bestFit="1" customWidth="1"/>
    <col min="3" max="3" width="11" bestFit="1" customWidth="1"/>
    <col min="4" max="4" width="13.08984375" bestFit="1" customWidth="1"/>
    <col min="5" max="5" width="9.90625" bestFit="1" customWidth="1"/>
    <col min="6" max="8" width="11.81640625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7" t="s">
        <v>8</v>
      </c>
    </row>
    <row r="2" spans="1:31" x14ac:dyDescent="0.35">
      <c r="A2" s="7" t="s">
        <v>9</v>
      </c>
      <c r="B2" s="8" t="s">
        <v>10</v>
      </c>
      <c r="C2" s="8" t="s">
        <v>11</v>
      </c>
      <c r="D2" s="8">
        <v>145</v>
      </c>
      <c r="E2" s="8">
        <v>13</v>
      </c>
      <c r="F2" s="9">
        <v>4.48275862068966E-2</v>
      </c>
      <c r="G2" s="9">
        <v>1.11379310344828</v>
      </c>
      <c r="H2" s="9">
        <v>4.0247678018575803E-2</v>
      </c>
      <c r="I2" s="10">
        <v>4</v>
      </c>
    </row>
    <row r="3" spans="1:31" x14ac:dyDescent="0.35">
      <c r="A3" s="11" t="s">
        <v>9</v>
      </c>
      <c r="B3" s="12" t="s">
        <v>10</v>
      </c>
      <c r="C3" s="12" t="s">
        <v>10</v>
      </c>
      <c r="D3" s="12">
        <v>145</v>
      </c>
      <c r="E3" s="12">
        <v>200</v>
      </c>
      <c r="F3" s="13">
        <v>0.68965517241379304</v>
      </c>
      <c r="G3" s="13">
        <v>1.11379310344828</v>
      </c>
      <c r="H3" s="71">
        <v>0.61919504643962797</v>
      </c>
      <c r="I3" s="14">
        <v>4</v>
      </c>
    </row>
    <row r="4" spans="1:31" x14ac:dyDescent="0.35">
      <c r="A4" s="15" t="s">
        <v>9</v>
      </c>
      <c r="B4" s="16" t="s">
        <v>10</v>
      </c>
      <c r="C4" s="16" t="s">
        <v>12</v>
      </c>
      <c r="D4" s="16">
        <v>145</v>
      </c>
      <c r="E4" s="16">
        <v>45</v>
      </c>
      <c r="F4" s="17">
        <v>0.15517241379310301</v>
      </c>
      <c r="G4" s="17">
        <v>1.11379310344828</v>
      </c>
      <c r="H4" s="17">
        <v>0.13931888544891599</v>
      </c>
      <c r="I4" s="18">
        <v>4</v>
      </c>
    </row>
    <row r="5" spans="1:31" x14ac:dyDescent="0.35">
      <c r="A5" s="15" t="s">
        <v>9</v>
      </c>
      <c r="B5" s="16" t="s">
        <v>10</v>
      </c>
      <c r="C5" s="16" t="s">
        <v>13</v>
      </c>
      <c r="D5" s="16">
        <v>145</v>
      </c>
      <c r="E5" s="16">
        <v>7</v>
      </c>
      <c r="F5" s="17">
        <v>2.41379310344828E-2</v>
      </c>
      <c r="G5" s="17">
        <v>1.11379310344828</v>
      </c>
      <c r="H5" s="17">
        <v>2.1671826625387001E-2</v>
      </c>
      <c r="I5" s="18">
        <v>4</v>
      </c>
    </row>
    <row r="6" spans="1:31" x14ac:dyDescent="0.35">
      <c r="A6" s="15" t="s">
        <v>9</v>
      </c>
      <c r="B6" s="16" t="s">
        <v>10</v>
      </c>
      <c r="C6" s="16" t="s">
        <v>14</v>
      </c>
      <c r="D6" s="16">
        <v>145</v>
      </c>
      <c r="E6" s="16">
        <v>33</v>
      </c>
      <c r="F6" s="17">
        <v>0.11379310344827601</v>
      </c>
      <c r="G6" s="17">
        <v>1.11379310344828</v>
      </c>
      <c r="H6" s="17">
        <v>0.10216718266253901</v>
      </c>
      <c r="I6" s="18">
        <v>4</v>
      </c>
    </row>
    <row r="7" spans="1:31" x14ac:dyDescent="0.35">
      <c r="A7" s="19" t="s">
        <v>9</v>
      </c>
      <c r="B7" s="20" t="s">
        <v>10</v>
      </c>
      <c r="C7" s="20" t="s">
        <v>15</v>
      </c>
      <c r="D7" s="20">
        <v>145</v>
      </c>
      <c r="E7" s="20">
        <v>25</v>
      </c>
      <c r="F7" s="21">
        <v>8.6206896551724102E-2</v>
      </c>
      <c r="G7" s="21">
        <v>1.11379310344828</v>
      </c>
      <c r="H7" s="21">
        <v>7.7399380804953594E-2</v>
      </c>
      <c r="I7" s="22">
        <v>4</v>
      </c>
    </row>
    <row r="8" spans="1:31" x14ac:dyDescent="0.35">
      <c r="A8" s="7" t="s">
        <v>9</v>
      </c>
      <c r="B8" s="8" t="s">
        <v>12</v>
      </c>
      <c r="C8" s="8" t="s">
        <v>11</v>
      </c>
      <c r="D8" s="8">
        <v>124</v>
      </c>
      <c r="E8" s="8">
        <v>97</v>
      </c>
      <c r="F8" s="9">
        <v>0.391129032258065</v>
      </c>
      <c r="G8" s="9">
        <v>1.2338709677419399</v>
      </c>
      <c r="H8" s="72">
        <v>0.31699346405228801</v>
      </c>
      <c r="I8" s="10">
        <v>4</v>
      </c>
      <c r="P8" s="84"/>
      <c r="Y8" t="s">
        <v>20</v>
      </c>
      <c r="Z8" t="s">
        <v>21</v>
      </c>
    </row>
    <row r="9" spans="1:31" x14ac:dyDescent="0.35">
      <c r="A9" s="15" t="s">
        <v>9</v>
      </c>
      <c r="B9" s="16" t="s">
        <v>12</v>
      </c>
      <c r="C9" s="16" t="s">
        <v>10</v>
      </c>
      <c r="D9" s="16">
        <v>124</v>
      </c>
      <c r="E9" s="16">
        <v>30</v>
      </c>
      <c r="F9" s="17">
        <v>0.120967741935484</v>
      </c>
      <c r="G9" s="17">
        <v>1.2338709677419399</v>
      </c>
      <c r="H9" s="17">
        <v>9.8039215686274495E-2</v>
      </c>
      <c r="I9" s="18">
        <v>4</v>
      </c>
      <c r="O9" s="2" t="s">
        <v>18</v>
      </c>
      <c r="P9" s="85" t="s">
        <v>19</v>
      </c>
      <c r="Q9" s="87" t="s">
        <v>10</v>
      </c>
      <c r="R9" s="16" t="s">
        <v>12</v>
      </c>
      <c r="S9" s="16" t="s">
        <v>13</v>
      </c>
      <c r="T9" s="16" t="s">
        <v>14</v>
      </c>
      <c r="U9" s="16" t="s">
        <v>15</v>
      </c>
      <c r="X9" t="s">
        <v>22</v>
      </c>
      <c r="Y9" t="s">
        <v>23</v>
      </c>
      <c r="Z9" t="s">
        <v>24</v>
      </c>
      <c r="AA9" t="s">
        <v>25</v>
      </c>
      <c r="AB9" t="s">
        <v>26</v>
      </c>
      <c r="AC9" t="s">
        <v>27</v>
      </c>
      <c r="AD9" t="s">
        <v>28</v>
      </c>
      <c r="AE9" t="s">
        <v>15</v>
      </c>
    </row>
    <row r="10" spans="1:31" x14ac:dyDescent="0.35">
      <c r="A10" s="11" t="s">
        <v>9</v>
      </c>
      <c r="B10" s="12" t="s">
        <v>12</v>
      </c>
      <c r="C10" s="12" t="s">
        <v>12</v>
      </c>
      <c r="D10" s="12">
        <v>124</v>
      </c>
      <c r="E10" s="12">
        <v>112</v>
      </c>
      <c r="F10" s="13">
        <v>0.45161290322580599</v>
      </c>
      <c r="G10" s="13">
        <v>1.2338709677419399</v>
      </c>
      <c r="H10" s="71">
        <v>0.36601307189542498</v>
      </c>
      <c r="I10" s="14">
        <v>4</v>
      </c>
      <c r="N10" s="17" t="s">
        <v>18</v>
      </c>
      <c r="O10" s="83"/>
      <c r="Q10" s="89">
        <v>0.04</v>
      </c>
      <c r="R10" s="89">
        <v>0.32</v>
      </c>
      <c r="S10" s="89">
        <v>0.46</v>
      </c>
      <c r="T10" s="89">
        <v>0.24</v>
      </c>
      <c r="U10" s="89"/>
      <c r="X10" t="s">
        <v>23</v>
      </c>
      <c r="Y10" t="s">
        <v>29</v>
      </c>
      <c r="Z10" t="s">
        <v>29</v>
      </c>
      <c r="AA10" t="s">
        <v>29</v>
      </c>
      <c r="AB10" t="s">
        <v>29</v>
      </c>
      <c r="AC10" t="s">
        <v>29</v>
      </c>
      <c r="AD10" t="s">
        <v>29</v>
      </c>
      <c r="AE10" t="s">
        <v>29</v>
      </c>
    </row>
    <row r="11" spans="1:31" x14ac:dyDescent="0.35">
      <c r="A11" s="15" t="s">
        <v>9</v>
      </c>
      <c r="B11" s="16" t="s">
        <v>12</v>
      </c>
      <c r="C11" s="16" t="s">
        <v>13</v>
      </c>
      <c r="D11" s="16">
        <v>124</v>
      </c>
      <c r="E11" s="16">
        <v>31</v>
      </c>
      <c r="F11" s="17">
        <v>0.125</v>
      </c>
      <c r="G11" s="17">
        <v>1.2338709677419399</v>
      </c>
      <c r="H11" s="17">
        <v>0.10130718954248399</v>
      </c>
      <c r="I11" s="18">
        <v>4</v>
      </c>
      <c r="N11" s="86" t="s">
        <v>19</v>
      </c>
      <c r="P11" s="83"/>
      <c r="Q11" s="89"/>
      <c r="R11" s="89"/>
      <c r="S11" s="89"/>
      <c r="T11" s="89"/>
      <c r="U11" s="89"/>
      <c r="X11" t="s">
        <v>24</v>
      </c>
      <c r="Y11" t="s">
        <v>29</v>
      </c>
      <c r="Z11" t="s">
        <v>29</v>
      </c>
      <c r="AA11" t="s">
        <v>29</v>
      </c>
      <c r="AB11" t="s">
        <v>29</v>
      </c>
      <c r="AC11" t="s">
        <v>29</v>
      </c>
      <c r="AD11" t="s">
        <v>29</v>
      </c>
      <c r="AE11" t="s">
        <v>29</v>
      </c>
    </row>
    <row r="12" spans="1:31" x14ac:dyDescent="0.35">
      <c r="A12" s="15" t="s">
        <v>9</v>
      </c>
      <c r="B12" s="16" t="s">
        <v>12</v>
      </c>
      <c r="C12" s="16" t="s">
        <v>14</v>
      </c>
      <c r="D12" s="16">
        <v>124</v>
      </c>
      <c r="E12" s="16">
        <v>9</v>
      </c>
      <c r="F12" s="17">
        <v>3.6290322580645198E-2</v>
      </c>
      <c r="G12" s="17">
        <v>1.2338709677419399</v>
      </c>
      <c r="H12" s="17">
        <v>2.9411764705882401E-2</v>
      </c>
      <c r="I12" s="18">
        <v>4</v>
      </c>
      <c r="N12" s="87" t="s">
        <v>10</v>
      </c>
      <c r="Q12" s="83">
        <v>0.62</v>
      </c>
      <c r="X12" t="s">
        <v>25</v>
      </c>
      <c r="Y12">
        <v>0.12693499999999999</v>
      </c>
      <c r="Z12">
        <v>6.8111459999999999E-2</v>
      </c>
      <c r="AA12">
        <v>3.7027863999999999</v>
      </c>
      <c r="AB12">
        <v>0.80185759999999995</v>
      </c>
      <c r="AC12">
        <v>0.16099069999999999</v>
      </c>
      <c r="AD12">
        <v>0.50154799999999999</v>
      </c>
      <c r="AE12">
        <v>0.47987619999999997</v>
      </c>
    </row>
    <row r="13" spans="1:31" x14ac:dyDescent="0.35">
      <c r="A13" s="19" t="s">
        <v>9</v>
      </c>
      <c r="B13" s="20" t="s">
        <v>12</v>
      </c>
      <c r="C13" s="20" t="s">
        <v>15</v>
      </c>
      <c r="D13" s="20">
        <v>124</v>
      </c>
      <c r="E13" s="20">
        <v>27</v>
      </c>
      <c r="F13" s="21">
        <v>0.108870967741935</v>
      </c>
      <c r="G13" s="21">
        <v>1.2338709677419399</v>
      </c>
      <c r="H13" s="21">
        <v>8.8235294117647106E-2</v>
      </c>
      <c r="I13" s="22">
        <v>4</v>
      </c>
      <c r="N13" s="16" t="s">
        <v>12</v>
      </c>
      <c r="R13" s="83">
        <v>0.37</v>
      </c>
      <c r="X13" t="s">
        <v>26</v>
      </c>
      <c r="Y13">
        <v>1.6535948</v>
      </c>
      <c r="Z13">
        <v>0.45751634000000002</v>
      </c>
      <c r="AA13">
        <v>0.41176469999999998</v>
      </c>
      <c r="AB13">
        <v>1.4705881999999999</v>
      </c>
      <c r="AC13">
        <v>0.50653590000000004</v>
      </c>
      <c r="AD13">
        <v>0.1535948</v>
      </c>
      <c r="AE13">
        <v>0.6928105</v>
      </c>
    </row>
    <row r="14" spans="1:31" x14ac:dyDescent="0.35">
      <c r="A14" s="7" t="s">
        <v>9</v>
      </c>
      <c r="B14" s="8" t="s">
        <v>13</v>
      </c>
      <c r="C14" s="8" t="s">
        <v>11</v>
      </c>
      <c r="D14" s="8">
        <v>94</v>
      </c>
      <c r="E14" s="8">
        <v>129</v>
      </c>
      <c r="F14" s="9">
        <v>0.68617021276595702</v>
      </c>
      <c r="G14" s="9">
        <v>1.4946808510638301</v>
      </c>
      <c r="H14" s="72">
        <v>0.45907473309608499</v>
      </c>
      <c r="I14" s="10">
        <v>4</v>
      </c>
      <c r="N14" s="16" t="s">
        <v>13</v>
      </c>
      <c r="S14" s="83">
        <v>0.22</v>
      </c>
      <c r="X14" t="s">
        <v>27</v>
      </c>
      <c r="Y14">
        <v>0.88612100000000005</v>
      </c>
      <c r="Z14">
        <v>1.71886121</v>
      </c>
      <c r="AA14">
        <v>0.46263349999999998</v>
      </c>
      <c r="AB14">
        <v>0.52313169999999998</v>
      </c>
      <c r="AC14">
        <v>1.2170818999999999</v>
      </c>
      <c r="AD14">
        <v>0.45195730000000001</v>
      </c>
      <c r="AE14">
        <v>0.2704626</v>
      </c>
    </row>
    <row r="15" spans="1:31" x14ac:dyDescent="0.35">
      <c r="A15" s="15" t="s">
        <v>9</v>
      </c>
      <c r="B15" s="16" t="s">
        <v>13</v>
      </c>
      <c r="C15" s="16" t="s">
        <v>10</v>
      </c>
      <c r="D15" s="16">
        <v>94</v>
      </c>
      <c r="E15" s="16">
        <v>19</v>
      </c>
      <c r="F15" s="17">
        <v>0.10106382978723399</v>
      </c>
      <c r="G15" s="17">
        <v>1.4946808510638301</v>
      </c>
      <c r="H15" s="17">
        <v>6.76156583629893E-2</v>
      </c>
      <c r="I15" s="18">
        <v>4</v>
      </c>
      <c r="N15" s="16" t="s">
        <v>14</v>
      </c>
      <c r="T15" s="83">
        <v>0.25</v>
      </c>
      <c r="X15" t="s">
        <v>28</v>
      </c>
      <c r="Y15">
        <v>0.4487179</v>
      </c>
      <c r="Z15">
        <v>1.17307692</v>
      </c>
      <c r="AA15">
        <v>1.2371795000000001</v>
      </c>
      <c r="AB15">
        <v>0.67948719999999996</v>
      </c>
      <c r="AC15">
        <v>0.80769230000000003</v>
      </c>
      <c r="AD15">
        <v>1.1153846000000001</v>
      </c>
      <c r="AE15">
        <v>0.73717949999999999</v>
      </c>
    </row>
    <row r="16" spans="1:31" x14ac:dyDescent="0.35">
      <c r="A16" s="15" t="s">
        <v>9</v>
      </c>
      <c r="B16" s="16" t="s">
        <v>13</v>
      </c>
      <c r="C16" s="16" t="s">
        <v>12</v>
      </c>
      <c r="D16" s="16">
        <v>94</v>
      </c>
      <c r="E16" s="16">
        <v>27</v>
      </c>
      <c r="F16" s="17">
        <v>0.14361702127659601</v>
      </c>
      <c r="G16" s="17">
        <v>1.4946808510638301</v>
      </c>
      <c r="H16" s="17">
        <v>9.6085409252668993E-2</v>
      </c>
      <c r="I16" s="18">
        <v>4</v>
      </c>
      <c r="N16" s="16" t="s">
        <v>15</v>
      </c>
      <c r="U16" s="83">
        <v>0.38</v>
      </c>
      <c r="X16" t="s">
        <v>15</v>
      </c>
      <c r="Y16">
        <v>0.20689660000000001</v>
      </c>
      <c r="Z16">
        <v>0.48275862000000003</v>
      </c>
      <c r="AA16">
        <v>0.20689660000000001</v>
      </c>
      <c r="AB16">
        <v>0.48275859999999998</v>
      </c>
      <c r="AC16">
        <v>1.0344827999999999</v>
      </c>
      <c r="AD16">
        <v>0.55172410000000005</v>
      </c>
      <c r="AE16">
        <v>0.93103449999999999</v>
      </c>
    </row>
    <row r="17" spans="1:31" x14ac:dyDescent="0.35">
      <c r="A17" s="11" t="s">
        <v>9</v>
      </c>
      <c r="B17" s="12" t="s">
        <v>13</v>
      </c>
      <c r="C17" s="12" t="s">
        <v>13</v>
      </c>
      <c r="D17" s="12">
        <v>94</v>
      </c>
      <c r="E17" s="12">
        <v>63</v>
      </c>
      <c r="F17" s="13">
        <v>0.33510638297872303</v>
      </c>
      <c r="G17" s="13">
        <v>1.4946808510638301</v>
      </c>
      <c r="H17" s="71">
        <v>0.22419928825622801</v>
      </c>
      <c r="I17" s="14">
        <v>4</v>
      </c>
    </row>
    <row r="18" spans="1:31" x14ac:dyDescent="0.35">
      <c r="A18" s="15" t="s">
        <v>9</v>
      </c>
      <c r="B18" s="16" t="s">
        <v>13</v>
      </c>
      <c r="C18" s="16" t="s">
        <v>14</v>
      </c>
      <c r="D18" s="16">
        <v>94</v>
      </c>
      <c r="E18" s="16">
        <v>32</v>
      </c>
      <c r="F18" s="17">
        <v>0.170212765957447</v>
      </c>
      <c r="G18" s="17">
        <v>1.4946808510638301</v>
      </c>
      <c r="H18" s="17">
        <v>0.11387900355871899</v>
      </c>
      <c r="I18" s="18">
        <v>4</v>
      </c>
    </row>
    <row r="19" spans="1:31" x14ac:dyDescent="0.35">
      <c r="A19" s="19" t="s">
        <v>9</v>
      </c>
      <c r="B19" s="20" t="s">
        <v>13</v>
      </c>
      <c r="C19" s="20" t="s">
        <v>15</v>
      </c>
      <c r="D19" s="20">
        <v>94</v>
      </c>
      <c r="E19" s="20">
        <v>11</v>
      </c>
      <c r="F19" s="21">
        <v>5.85106382978723E-2</v>
      </c>
      <c r="G19" s="21">
        <v>1.4946808510638301</v>
      </c>
      <c r="H19" s="21">
        <v>3.91459074733096E-2</v>
      </c>
      <c r="I19" s="22">
        <v>4</v>
      </c>
      <c r="Y19" t="s">
        <v>20</v>
      </c>
      <c r="Z19" t="s">
        <v>21</v>
      </c>
    </row>
    <row r="20" spans="1:31" x14ac:dyDescent="0.35">
      <c r="A20" s="7" t="s">
        <v>9</v>
      </c>
      <c r="B20" s="8" t="s">
        <v>14</v>
      </c>
      <c r="C20" s="8" t="s">
        <v>11</v>
      </c>
      <c r="D20" s="8">
        <v>57</v>
      </c>
      <c r="E20" s="8">
        <v>38</v>
      </c>
      <c r="F20" s="9">
        <v>0.33333333333333298</v>
      </c>
      <c r="G20" s="9">
        <v>1.3684210526315801</v>
      </c>
      <c r="H20" s="72">
        <v>0.243589743589744</v>
      </c>
      <c r="I20" s="10">
        <v>4</v>
      </c>
      <c r="O20" s="2" t="s">
        <v>18</v>
      </c>
      <c r="P20" s="85" t="s">
        <v>19</v>
      </c>
      <c r="Q20" s="87" t="s">
        <v>10</v>
      </c>
      <c r="R20" s="16" t="s">
        <v>12</v>
      </c>
      <c r="S20" s="16" t="s">
        <v>13</v>
      </c>
      <c r="T20" s="16" t="s">
        <v>14</v>
      </c>
      <c r="U20" s="16" t="s">
        <v>15</v>
      </c>
      <c r="X20" t="s">
        <v>22</v>
      </c>
      <c r="Y20" t="s">
        <v>23</v>
      </c>
      <c r="Z20" t="s">
        <v>24</v>
      </c>
      <c r="AA20" t="s">
        <v>25</v>
      </c>
      <c r="AB20" t="s">
        <v>26</v>
      </c>
      <c r="AC20" t="s">
        <v>27</v>
      </c>
      <c r="AD20" t="s">
        <v>28</v>
      </c>
      <c r="AE20" t="s">
        <v>15</v>
      </c>
    </row>
    <row r="21" spans="1:31" x14ac:dyDescent="0.35">
      <c r="A21" s="15" t="s">
        <v>9</v>
      </c>
      <c r="B21" s="16" t="s">
        <v>14</v>
      </c>
      <c r="C21" s="16" t="s">
        <v>10</v>
      </c>
      <c r="D21" s="16">
        <v>57</v>
      </c>
      <c r="E21" s="16">
        <v>23</v>
      </c>
      <c r="F21" s="17">
        <v>0.20175438596491199</v>
      </c>
      <c r="G21" s="17">
        <v>1.3684210526315801</v>
      </c>
      <c r="H21" s="17">
        <v>0.147435897435897</v>
      </c>
      <c r="I21" s="18">
        <v>4</v>
      </c>
      <c r="N21" s="17" t="s">
        <v>18</v>
      </c>
      <c r="O21" s="83"/>
      <c r="R21" s="88">
        <v>0.16</v>
      </c>
      <c r="S21" s="88">
        <f>0.46-S22</f>
        <v>0.184</v>
      </c>
      <c r="T21" s="88">
        <f>0.24-T22</f>
        <v>9.6000000000000002E-2</v>
      </c>
      <c r="X21" t="s">
        <v>23</v>
      </c>
    </row>
    <row r="22" spans="1:31" x14ac:dyDescent="0.35">
      <c r="A22" s="15" t="s">
        <v>9</v>
      </c>
      <c r="B22" s="16" t="s">
        <v>14</v>
      </c>
      <c r="C22" s="16" t="s">
        <v>12</v>
      </c>
      <c r="D22" s="16">
        <v>57</v>
      </c>
      <c r="E22" s="16">
        <v>12</v>
      </c>
      <c r="F22" s="17">
        <v>0.105263157894737</v>
      </c>
      <c r="G22" s="17">
        <v>1.3684210526315801</v>
      </c>
      <c r="H22" s="17">
        <v>7.69230769230769E-2</v>
      </c>
      <c r="I22" s="18">
        <v>4</v>
      </c>
      <c r="N22" s="86" t="s">
        <v>19</v>
      </c>
      <c r="P22" s="83"/>
      <c r="R22" s="88">
        <v>0.16</v>
      </c>
      <c r="S22" s="88">
        <f>0.46*0.6</f>
        <v>0.27600000000000002</v>
      </c>
      <c r="T22" s="88">
        <f>0.24*0.6</f>
        <v>0.14399999999999999</v>
      </c>
      <c r="X22" t="s">
        <v>24</v>
      </c>
    </row>
    <row r="23" spans="1:31" x14ac:dyDescent="0.35">
      <c r="A23" s="15" t="s">
        <v>9</v>
      </c>
      <c r="B23" s="16" t="s">
        <v>14</v>
      </c>
      <c r="C23" s="16" t="s">
        <v>13</v>
      </c>
      <c r="D23" s="16">
        <v>57</v>
      </c>
      <c r="E23" s="16">
        <v>21</v>
      </c>
      <c r="F23" s="17">
        <v>0.18421052631578899</v>
      </c>
      <c r="G23" s="17">
        <v>1.3684210526315801</v>
      </c>
      <c r="H23" s="17">
        <v>0.134615384615385</v>
      </c>
      <c r="I23" s="18">
        <v>4</v>
      </c>
      <c r="N23" s="87" t="s">
        <v>10</v>
      </c>
      <c r="Q23" s="83">
        <v>0.62</v>
      </c>
      <c r="X23" t="s">
        <v>25</v>
      </c>
      <c r="Y23">
        <f>Y12/2</f>
        <v>6.3467499999999996E-2</v>
      </c>
      <c r="Z23">
        <f t="shared" ref="Z23:AE23" si="0">Z12/2</f>
        <v>3.4055729999999999E-2</v>
      </c>
      <c r="AA23">
        <f t="shared" si="0"/>
        <v>1.8513932</v>
      </c>
      <c r="AB23">
        <f t="shared" si="0"/>
        <v>0.40092879999999997</v>
      </c>
      <c r="AC23">
        <f t="shared" si="0"/>
        <v>8.0495349999999993E-2</v>
      </c>
      <c r="AD23">
        <f t="shared" si="0"/>
        <v>0.250774</v>
      </c>
      <c r="AE23">
        <f t="shared" si="0"/>
        <v>0.23993809999999999</v>
      </c>
    </row>
    <row r="24" spans="1:31" x14ac:dyDescent="0.35">
      <c r="A24" s="11" t="s">
        <v>9</v>
      </c>
      <c r="B24" s="12" t="s">
        <v>14</v>
      </c>
      <c r="C24" s="12" t="s">
        <v>14</v>
      </c>
      <c r="D24" s="12">
        <v>57</v>
      </c>
      <c r="E24" s="12">
        <v>39</v>
      </c>
      <c r="F24" s="13">
        <v>0.34210526315789502</v>
      </c>
      <c r="G24" s="13">
        <v>1.3684210526315801</v>
      </c>
      <c r="H24" s="71">
        <v>0.25</v>
      </c>
      <c r="I24" s="14">
        <v>4</v>
      </c>
      <c r="N24" s="16" t="s">
        <v>12</v>
      </c>
      <c r="R24" s="83">
        <v>0.37</v>
      </c>
      <c r="X24" t="s">
        <v>26</v>
      </c>
      <c r="Y24">
        <f t="shared" ref="Y24:AE24" si="1">Y13/2</f>
        <v>0.82679740000000002</v>
      </c>
      <c r="Z24">
        <f t="shared" si="1"/>
        <v>0.22875817000000001</v>
      </c>
      <c r="AA24">
        <f t="shared" si="1"/>
        <v>0.20588234999999999</v>
      </c>
      <c r="AB24">
        <f t="shared" si="1"/>
        <v>0.73529409999999995</v>
      </c>
      <c r="AC24">
        <f t="shared" si="1"/>
        <v>0.25326795000000002</v>
      </c>
      <c r="AD24">
        <f t="shared" si="1"/>
        <v>7.6797400000000002E-2</v>
      </c>
      <c r="AE24">
        <f t="shared" si="1"/>
        <v>0.34640525</v>
      </c>
    </row>
    <row r="25" spans="1:31" x14ac:dyDescent="0.35">
      <c r="A25" s="19" t="s">
        <v>9</v>
      </c>
      <c r="B25" s="20" t="s">
        <v>14</v>
      </c>
      <c r="C25" s="20" t="s">
        <v>15</v>
      </c>
      <c r="D25" s="20">
        <v>57</v>
      </c>
      <c r="E25" s="20">
        <v>23</v>
      </c>
      <c r="F25" s="21">
        <v>0.20175438596491199</v>
      </c>
      <c r="G25" s="21">
        <v>1.3684210526315801</v>
      </c>
      <c r="H25" s="21">
        <v>0.147435897435897</v>
      </c>
      <c r="I25" s="22">
        <v>4</v>
      </c>
      <c r="N25" s="16" t="s">
        <v>13</v>
      </c>
      <c r="S25" s="83">
        <v>0.22</v>
      </c>
      <c r="X25" t="s">
        <v>27</v>
      </c>
      <c r="Y25">
        <f t="shared" ref="Y25:AE25" si="2">Y14/2</f>
        <v>0.44306050000000002</v>
      </c>
      <c r="Z25">
        <f t="shared" si="2"/>
        <v>0.85943060500000001</v>
      </c>
      <c r="AA25">
        <f t="shared" si="2"/>
        <v>0.23131674999999999</v>
      </c>
      <c r="AB25">
        <f t="shared" si="2"/>
        <v>0.26156584999999999</v>
      </c>
      <c r="AC25">
        <f t="shared" si="2"/>
        <v>0.60854094999999997</v>
      </c>
      <c r="AD25">
        <f t="shared" si="2"/>
        <v>0.22597865</v>
      </c>
      <c r="AE25">
        <f t="shared" si="2"/>
        <v>0.1352313</v>
      </c>
    </row>
    <row r="26" spans="1:31" x14ac:dyDescent="0.35">
      <c r="A26" s="7" t="s">
        <v>9</v>
      </c>
      <c r="B26" s="8" t="s">
        <v>15</v>
      </c>
      <c r="C26" s="8" t="s">
        <v>11</v>
      </c>
      <c r="D26" s="8">
        <v>13</v>
      </c>
      <c r="E26" s="8">
        <v>4</v>
      </c>
      <c r="F26" s="9">
        <v>0.15384615384615399</v>
      </c>
      <c r="G26" s="9">
        <v>1.1153846153846201</v>
      </c>
      <c r="H26" s="9">
        <v>0.13793103448275901</v>
      </c>
      <c r="I26" s="10">
        <v>4</v>
      </c>
      <c r="N26" s="16" t="s">
        <v>14</v>
      </c>
      <c r="T26" s="83">
        <v>0.25</v>
      </c>
      <c r="X26" t="s">
        <v>28</v>
      </c>
      <c r="Y26">
        <f t="shared" ref="Y26:AE26" si="3">Y15/2</f>
        <v>0.22435895</v>
      </c>
      <c r="Z26">
        <f t="shared" si="3"/>
        <v>0.58653845999999998</v>
      </c>
      <c r="AA26">
        <f t="shared" si="3"/>
        <v>0.61858975000000005</v>
      </c>
      <c r="AB26">
        <f t="shared" si="3"/>
        <v>0.33974359999999998</v>
      </c>
      <c r="AC26">
        <f t="shared" si="3"/>
        <v>0.40384615000000001</v>
      </c>
      <c r="AD26">
        <f t="shared" si="3"/>
        <v>0.55769230000000003</v>
      </c>
      <c r="AE26">
        <f t="shared" si="3"/>
        <v>0.36858974999999999</v>
      </c>
    </row>
    <row r="27" spans="1:31" x14ac:dyDescent="0.35">
      <c r="A27" s="15" t="s">
        <v>9</v>
      </c>
      <c r="B27" s="16" t="s">
        <v>15</v>
      </c>
      <c r="C27" s="16" t="s">
        <v>10</v>
      </c>
      <c r="D27" s="16">
        <v>13</v>
      </c>
      <c r="E27" s="16">
        <v>2</v>
      </c>
      <c r="F27" s="17">
        <v>7.69230769230769E-2</v>
      </c>
      <c r="G27" s="17">
        <v>1.1153846153846201</v>
      </c>
      <c r="H27" s="17">
        <v>6.8965517241379296E-2</v>
      </c>
      <c r="I27" s="18">
        <v>4</v>
      </c>
      <c r="N27" s="16" t="s">
        <v>15</v>
      </c>
      <c r="U27" s="83">
        <v>0.38</v>
      </c>
      <c r="X27" t="s">
        <v>15</v>
      </c>
      <c r="Y27">
        <f t="shared" ref="Y27:AE27" si="4">Y16/2</f>
        <v>0.10344830000000001</v>
      </c>
      <c r="Z27">
        <f t="shared" si="4"/>
        <v>0.24137931000000001</v>
      </c>
      <c r="AA27">
        <f t="shared" si="4"/>
        <v>0.10344830000000001</v>
      </c>
      <c r="AB27">
        <f t="shared" si="4"/>
        <v>0.24137929999999999</v>
      </c>
      <c r="AC27">
        <f t="shared" si="4"/>
        <v>0.51724139999999996</v>
      </c>
      <c r="AD27">
        <f t="shared" si="4"/>
        <v>0.27586205000000003</v>
      </c>
      <c r="AE27">
        <f>AE16/2</f>
        <v>0.46551724999999999</v>
      </c>
    </row>
    <row r="28" spans="1:31" x14ac:dyDescent="0.35">
      <c r="A28" s="15" t="s">
        <v>9</v>
      </c>
      <c r="B28" s="16" t="s">
        <v>15</v>
      </c>
      <c r="C28" s="16" t="s">
        <v>12</v>
      </c>
      <c r="D28" s="16">
        <v>13</v>
      </c>
      <c r="E28" s="16">
        <v>3</v>
      </c>
      <c r="F28" s="17">
        <v>0.115384615384615</v>
      </c>
      <c r="G28" s="17">
        <v>1.1153846153846201</v>
      </c>
      <c r="H28" s="17">
        <v>0.10344827586206901</v>
      </c>
      <c r="I28" s="18">
        <v>4</v>
      </c>
    </row>
    <row r="29" spans="1:31" x14ac:dyDescent="0.35">
      <c r="A29" s="15" t="s">
        <v>9</v>
      </c>
      <c r="B29" s="16" t="s">
        <v>15</v>
      </c>
      <c r="C29" s="16" t="s">
        <v>13</v>
      </c>
      <c r="D29" s="16">
        <v>13</v>
      </c>
      <c r="E29" s="16">
        <v>5</v>
      </c>
      <c r="F29" s="17">
        <v>0.19230769230769201</v>
      </c>
      <c r="G29" s="17">
        <v>1.1153846153846201</v>
      </c>
      <c r="H29" s="17">
        <v>0.17241379310344801</v>
      </c>
      <c r="I29" s="18">
        <v>4</v>
      </c>
    </row>
    <row r="30" spans="1:31" x14ac:dyDescent="0.35">
      <c r="A30" s="15" t="s">
        <v>9</v>
      </c>
      <c r="B30" s="16" t="s">
        <v>15</v>
      </c>
      <c r="C30" s="16" t="s">
        <v>14</v>
      </c>
      <c r="D30" s="16">
        <v>13</v>
      </c>
      <c r="E30" s="16">
        <v>4</v>
      </c>
      <c r="F30" s="17">
        <v>0.15384615384615399</v>
      </c>
      <c r="G30" s="17">
        <v>1.1153846153846201</v>
      </c>
      <c r="H30" s="17">
        <v>0.13793103448275901</v>
      </c>
      <c r="I30" s="18">
        <v>4</v>
      </c>
    </row>
    <row r="31" spans="1:31" x14ac:dyDescent="0.35">
      <c r="A31" s="48" t="s">
        <v>9</v>
      </c>
      <c r="B31" s="49" t="s">
        <v>15</v>
      </c>
      <c r="C31" s="49" t="s">
        <v>15</v>
      </c>
      <c r="D31" s="49">
        <v>13</v>
      </c>
      <c r="E31" s="49">
        <v>11</v>
      </c>
      <c r="F31" s="50">
        <v>0.42307692307692302</v>
      </c>
      <c r="G31" s="50">
        <v>1.1153846153846201</v>
      </c>
      <c r="H31" s="73">
        <v>0.37931034482758602</v>
      </c>
      <c r="I31" s="51">
        <v>4</v>
      </c>
    </row>
    <row r="32" spans="1:31" x14ac:dyDescent="0.35">
      <c r="A32" s="23" t="s">
        <v>16</v>
      </c>
      <c r="B32" s="24" t="s">
        <v>10</v>
      </c>
      <c r="C32" s="24" t="s">
        <v>11</v>
      </c>
      <c r="D32" s="24">
        <v>145</v>
      </c>
      <c r="E32" s="24">
        <v>0</v>
      </c>
      <c r="F32" s="25">
        <v>0</v>
      </c>
      <c r="G32" s="25">
        <v>0.33793103448275902</v>
      </c>
      <c r="H32" s="25">
        <v>0</v>
      </c>
      <c r="I32" s="26">
        <v>4</v>
      </c>
    </row>
    <row r="33" spans="1:9" x14ac:dyDescent="0.35">
      <c r="A33" s="52" t="s">
        <v>16</v>
      </c>
      <c r="B33" s="53" t="s">
        <v>10</v>
      </c>
      <c r="C33" s="53" t="s">
        <v>10</v>
      </c>
      <c r="D33" s="53">
        <v>145</v>
      </c>
      <c r="E33" s="53">
        <v>32</v>
      </c>
      <c r="F33" s="54">
        <v>0.11034482758620701</v>
      </c>
      <c r="G33" s="54">
        <v>0.33793103448275902</v>
      </c>
      <c r="H33" s="77">
        <v>0.32653061224489799</v>
      </c>
      <c r="I33" s="55">
        <v>4</v>
      </c>
    </row>
    <row r="34" spans="1:9" x14ac:dyDescent="0.35">
      <c r="A34" s="27" t="s">
        <v>16</v>
      </c>
      <c r="B34" s="28" t="s">
        <v>10</v>
      </c>
      <c r="C34" s="28" t="s">
        <v>12</v>
      </c>
      <c r="D34" s="28">
        <v>145</v>
      </c>
      <c r="E34" s="28">
        <v>27</v>
      </c>
      <c r="F34" s="29">
        <v>9.3103448275862102E-2</v>
      </c>
      <c r="G34" s="29">
        <v>0.33793103448275902</v>
      </c>
      <c r="H34" s="76">
        <v>0.27551020408163301</v>
      </c>
      <c r="I34" s="30">
        <v>4</v>
      </c>
    </row>
    <row r="35" spans="1:9" x14ac:dyDescent="0.35">
      <c r="A35" s="27" t="s">
        <v>16</v>
      </c>
      <c r="B35" s="28" t="s">
        <v>10</v>
      </c>
      <c r="C35" s="28" t="s">
        <v>13</v>
      </c>
      <c r="D35" s="28">
        <v>145</v>
      </c>
      <c r="E35" s="28">
        <v>18</v>
      </c>
      <c r="F35" s="29">
        <v>6.2068965517241399E-2</v>
      </c>
      <c r="G35" s="29">
        <v>0.33793103448275902</v>
      </c>
      <c r="H35" s="29">
        <v>0.183673469387755</v>
      </c>
      <c r="I35" s="30">
        <v>4</v>
      </c>
    </row>
    <row r="36" spans="1:9" x14ac:dyDescent="0.35">
      <c r="A36" s="27" t="s">
        <v>16</v>
      </c>
      <c r="B36" s="28" t="s">
        <v>10</v>
      </c>
      <c r="C36" s="28" t="s">
        <v>14</v>
      </c>
      <c r="D36" s="28">
        <v>145</v>
      </c>
      <c r="E36" s="28">
        <v>14</v>
      </c>
      <c r="F36" s="29">
        <v>4.8275862068965503E-2</v>
      </c>
      <c r="G36" s="29">
        <v>0.33793103448275902</v>
      </c>
      <c r="H36" s="29">
        <v>0.14285714285714299</v>
      </c>
      <c r="I36" s="30">
        <v>4</v>
      </c>
    </row>
    <row r="37" spans="1:9" x14ac:dyDescent="0.35">
      <c r="A37" s="31" t="s">
        <v>16</v>
      </c>
      <c r="B37" s="32" t="s">
        <v>10</v>
      </c>
      <c r="C37" s="32" t="s">
        <v>15</v>
      </c>
      <c r="D37" s="32">
        <v>145</v>
      </c>
      <c r="E37" s="32">
        <v>7</v>
      </c>
      <c r="F37" s="33">
        <v>2.41379310344828E-2</v>
      </c>
      <c r="G37" s="33">
        <v>0.33793103448275902</v>
      </c>
      <c r="H37" s="33">
        <v>7.1428571428571397E-2</v>
      </c>
      <c r="I37" s="34">
        <v>4</v>
      </c>
    </row>
    <row r="38" spans="1:9" x14ac:dyDescent="0.35">
      <c r="A38" s="3" t="s">
        <v>16</v>
      </c>
      <c r="B38" s="3" t="s">
        <v>12</v>
      </c>
      <c r="C38" s="3" t="s">
        <v>11</v>
      </c>
      <c r="D38" s="3">
        <v>124</v>
      </c>
      <c r="E38" s="3">
        <v>0</v>
      </c>
      <c r="F38" s="4">
        <v>0</v>
      </c>
      <c r="G38" s="4">
        <v>0.63709677419354804</v>
      </c>
      <c r="H38" s="4">
        <v>0</v>
      </c>
      <c r="I38" s="30">
        <v>4</v>
      </c>
    </row>
    <row r="39" spans="1:9" x14ac:dyDescent="0.35">
      <c r="A39" s="3" t="s">
        <v>16</v>
      </c>
      <c r="B39" s="3" t="s">
        <v>12</v>
      </c>
      <c r="C39" s="3" t="s">
        <v>10</v>
      </c>
      <c r="D39" s="3">
        <v>124</v>
      </c>
      <c r="E39" s="3">
        <v>44</v>
      </c>
      <c r="F39" s="4">
        <v>0.17741935483870999</v>
      </c>
      <c r="G39" s="4">
        <v>0.63709677419354804</v>
      </c>
      <c r="H39" s="74">
        <v>0.278481012658228</v>
      </c>
      <c r="I39" s="30">
        <v>4</v>
      </c>
    </row>
    <row r="40" spans="1:9" x14ac:dyDescent="0.35">
      <c r="A40" s="56" t="s">
        <v>16</v>
      </c>
      <c r="B40" s="56" t="s">
        <v>12</v>
      </c>
      <c r="C40" s="56" t="s">
        <v>12</v>
      </c>
      <c r="D40" s="56">
        <v>124</v>
      </c>
      <c r="E40" s="56">
        <v>58</v>
      </c>
      <c r="F40" s="57">
        <v>0.233870967741935</v>
      </c>
      <c r="G40" s="57">
        <v>0.63709677419354804</v>
      </c>
      <c r="H40" s="75">
        <v>0.367088607594937</v>
      </c>
      <c r="I40" s="55">
        <v>4</v>
      </c>
    </row>
    <row r="41" spans="1:9" x14ac:dyDescent="0.35">
      <c r="A41" s="3" t="s">
        <v>16</v>
      </c>
      <c r="B41" s="3" t="s">
        <v>12</v>
      </c>
      <c r="C41" s="3" t="s">
        <v>13</v>
      </c>
      <c r="D41" s="3">
        <v>124</v>
      </c>
      <c r="E41" s="3">
        <v>32</v>
      </c>
      <c r="F41" s="4">
        <v>0.12903225806451599</v>
      </c>
      <c r="G41" s="4">
        <v>0.63709677419354804</v>
      </c>
      <c r="H41" s="74">
        <v>0.20253164556962</v>
      </c>
      <c r="I41" s="30">
        <v>4</v>
      </c>
    </row>
    <row r="42" spans="1:9" x14ac:dyDescent="0.35">
      <c r="A42" s="3" t="s">
        <v>16</v>
      </c>
      <c r="B42" s="3" t="s">
        <v>12</v>
      </c>
      <c r="C42" s="3" t="s">
        <v>14</v>
      </c>
      <c r="D42" s="3">
        <v>124</v>
      </c>
      <c r="E42" s="3">
        <v>14</v>
      </c>
      <c r="F42" s="4">
        <v>5.6451612903225798E-2</v>
      </c>
      <c r="G42" s="4">
        <v>0.63709677419354804</v>
      </c>
      <c r="H42" s="4">
        <v>8.8607594936708903E-2</v>
      </c>
      <c r="I42" s="30">
        <v>4</v>
      </c>
    </row>
    <row r="43" spans="1:9" x14ac:dyDescent="0.35">
      <c r="A43" s="3" t="s">
        <v>16</v>
      </c>
      <c r="B43" s="3" t="s">
        <v>12</v>
      </c>
      <c r="C43" s="3" t="s">
        <v>15</v>
      </c>
      <c r="D43" s="3">
        <v>124</v>
      </c>
      <c r="E43" s="3">
        <v>10</v>
      </c>
      <c r="F43" s="4">
        <v>4.0322580645161303E-2</v>
      </c>
      <c r="G43" s="4">
        <v>0.63709677419354804</v>
      </c>
      <c r="H43" s="4">
        <v>6.3291139240506306E-2</v>
      </c>
      <c r="I43" s="30">
        <v>4</v>
      </c>
    </row>
    <row r="44" spans="1:9" x14ac:dyDescent="0.35">
      <c r="A44" s="23" t="s">
        <v>16</v>
      </c>
      <c r="B44" s="24" t="s">
        <v>13</v>
      </c>
      <c r="C44" s="24" t="s">
        <v>11</v>
      </c>
      <c r="D44" s="24">
        <v>94</v>
      </c>
      <c r="E44" s="24">
        <v>0</v>
      </c>
      <c r="F44" s="25">
        <v>0</v>
      </c>
      <c r="G44" s="25">
        <v>0.92553191489361697</v>
      </c>
      <c r="H44" s="25">
        <v>0</v>
      </c>
      <c r="I44" s="26">
        <v>4</v>
      </c>
    </row>
    <row r="45" spans="1:9" x14ac:dyDescent="0.35">
      <c r="A45" s="27" t="s">
        <v>16</v>
      </c>
      <c r="B45" s="28" t="s">
        <v>13</v>
      </c>
      <c r="C45" s="28" t="s">
        <v>10</v>
      </c>
      <c r="D45" s="28">
        <v>94</v>
      </c>
      <c r="E45" s="28">
        <v>31</v>
      </c>
      <c r="F45" s="29">
        <v>0.164893617021277</v>
      </c>
      <c r="G45" s="29">
        <v>0.92553191489361697</v>
      </c>
      <c r="H45" s="29">
        <v>0.17816091954023</v>
      </c>
      <c r="I45" s="30">
        <v>4</v>
      </c>
    </row>
    <row r="46" spans="1:9" x14ac:dyDescent="0.35">
      <c r="A46" s="27" t="s">
        <v>16</v>
      </c>
      <c r="B46" s="28" t="s">
        <v>13</v>
      </c>
      <c r="C46" s="28" t="s">
        <v>12</v>
      </c>
      <c r="D46" s="28">
        <v>94</v>
      </c>
      <c r="E46" s="28">
        <v>68</v>
      </c>
      <c r="F46" s="29">
        <v>0.36170212765957399</v>
      </c>
      <c r="G46" s="29">
        <v>0.92553191489361697</v>
      </c>
      <c r="H46" s="76">
        <v>0.390804597701149</v>
      </c>
      <c r="I46" s="30">
        <v>4</v>
      </c>
    </row>
    <row r="47" spans="1:9" x14ac:dyDescent="0.35">
      <c r="A47" s="52" t="s">
        <v>16</v>
      </c>
      <c r="B47" s="53" t="s">
        <v>13</v>
      </c>
      <c r="C47" s="53" t="s">
        <v>13</v>
      </c>
      <c r="D47" s="53">
        <v>94</v>
      </c>
      <c r="E47" s="53">
        <v>46</v>
      </c>
      <c r="F47" s="54">
        <v>0.24468085106383</v>
      </c>
      <c r="G47" s="54">
        <v>0.92553191489361697</v>
      </c>
      <c r="H47" s="77">
        <v>0.26436781609195398</v>
      </c>
      <c r="I47" s="55">
        <v>4</v>
      </c>
    </row>
    <row r="48" spans="1:9" x14ac:dyDescent="0.35">
      <c r="A48" s="27" t="s">
        <v>16</v>
      </c>
      <c r="B48" s="28" t="s">
        <v>13</v>
      </c>
      <c r="C48" s="28" t="s">
        <v>14</v>
      </c>
      <c r="D48" s="28">
        <v>94</v>
      </c>
      <c r="E48" s="28">
        <v>22</v>
      </c>
      <c r="F48" s="29">
        <v>0.117021276595745</v>
      </c>
      <c r="G48" s="29">
        <v>0.92553191489361697</v>
      </c>
      <c r="H48" s="29">
        <v>0.126436781609195</v>
      </c>
      <c r="I48" s="30">
        <v>4</v>
      </c>
    </row>
    <row r="49" spans="1:9" x14ac:dyDescent="0.35">
      <c r="A49" s="31" t="s">
        <v>16</v>
      </c>
      <c r="B49" s="32" t="s">
        <v>13</v>
      </c>
      <c r="C49" s="32" t="s">
        <v>15</v>
      </c>
      <c r="D49" s="32">
        <v>94</v>
      </c>
      <c r="E49" s="32">
        <v>7</v>
      </c>
      <c r="F49" s="33">
        <v>3.7234042553191501E-2</v>
      </c>
      <c r="G49" s="33">
        <v>0.92553191489361697</v>
      </c>
      <c r="H49" s="33">
        <v>4.0229885057471299E-2</v>
      </c>
      <c r="I49" s="34">
        <v>4</v>
      </c>
    </row>
    <row r="50" spans="1:9" x14ac:dyDescent="0.35">
      <c r="A50" s="3" t="s">
        <v>16</v>
      </c>
      <c r="B50" s="3" t="s">
        <v>14</v>
      </c>
      <c r="C50" s="3" t="s">
        <v>11</v>
      </c>
      <c r="D50" s="3">
        <v>57</v>
      </c>
      <c r="E50" s="3">
        <v>0</v>
      </c>
      <c r="F50" s="4">
        <v>0</v>
      </c>
      <c r="G50" s="4">
        <v>0.51754385964912297</v>
      </c>
      <c r="H50" s="4">
        <v>0</v>
      </c>
      <c r="I50" s="30">
        <v>4</v>
      </c>
    </row>
    <row r="51" spans="1:9" x14ac:dyDescent="0.35">
      <c r="A51" s="3" t="s">
        <v>16</v>
      </c>
      <c r="B51" s="3" t="s">
        <v>14</v>
      </c>
      <c r="C51" s="3" t="s">
        <v>10</v>
      </c>
      <c r="D51" s="3">
        <v>57</v>
      </c>
      <c r="E51" s="3">
        <v>5</v>
      </c>
      <c r="F51" s="4">
        <v>4.3859649122807001E-2</v>
      </c>
      <c r="G51" s="4">
        <v>0.51754385964912297</v>
      </c>
      <c r="H51" s="4">
        <v>8.4745762711864403E-2</v>
      </c>
      <c r="I51" s="30">
        <v>4</v>
      </c>
    </row>
    <row r="52" spans="1:9" x14ac:dyDescent="0.35">
      <c r="A52" s="3" t="s">
        <v>16</v>
      </c>
      <c r="B52" s="3" t="s">
        <v>14</v>
      </c>
      <c r="C52" s="3" t="s">
        <v>12</v>
      </c>
      <c r="D52" s="3">
        <v>57</v>
      </c>
      <c r="E52" s="3">
        <v>15</v>
      </c>
      <c r="F52" s="4">
        <v>0.13157894736842099</v>
      </c>
      <c r="G52" s="4">
        <v>0.51754385964912297</v>
      </c>
      <c r="H52" s="74">
        <v>0.25423728813559299</v>
      </c>
      <c r="I52" s="30">
        <v>4</v>
      </c>
    </row>
    <row r="53" spans="1:9" x14ac:dyDescent="0.35">
      <c r="A53" s="3" t="s">
        <v>16</v>
      </c>
      <c r="B53" s="3" t="s">
        <v>14</v>
      </c>
      <c r="C53" s="3" t="s">
        <v>13</v>
      </c>
      <c r="D53" s="3">
        <v>57</v>
      </c>
      <c r="E53" s="3">
        <v>18</v>
      </c>
      <c r="F53" s="4">
        <v>0.157894736842105</v>
      </c>
      <c r="G53" s="4">
        <v>0.51754385964912297</v>
      </c>
      <c r="H53" s="74">
        <v>0.305084745762712</v>
      </c>
      <c r="I53" s="30">
        <v>4</v>
      </c>
    </row>
    <row r="54" spans="1:9" x14ac:dyDescent="0.35">
      <c r="A54" s="56" t="s">
        <v>16</v>
      </c>
      <c r="B54" s="56" t="s">
        <v>14</v>
      </c>
      <c r="C54" s="56" t="s">
        <v>14</v>
      </c>
      <c r="D54" s="56">
        <v>57</v>
      </c>
      <c r="E54" s="56">
        <v>18</v>
      </c>
      <c r="F54" s="57">
        <v>0.157894736842105</v>
      </c>
      <c r="G54" s="57">
        <v>0.51754385964912297</v>
      </c>
      <c r="H54" s="75">
        <v>0.305084745762712</v>
      </c>
      <c r="I54" s="55">
        <v>4</v>
      </c>
    </row>
    <row r="55" spans="1:9" x14ac:dyDescent="0.35">
      <c r="A55" s="3" t="s">
        <v>16</v>
      </c>
      <c r="B55" s="3" t="s">
        <v>14</v>
      </c>
      <c r="C55" s="3" t="s">
        <v>15</v>
      </c>
      <c r="D55" s="3">
        <v>57</v>
      </c>
      <c r="E55" s="3">
        <v>3</v>
      </c>
      <c r="F55" s="4">
        <v>2.6315789473684199E-2</v>
      </c>
      <c r="G55" s="4">
        <v>0.51754385964912297</v>
      </c>
      <c r="H55" s="4">
        <v>5.0847457627118599E-2</v>
      </c>
      <c r="I55" s="30">
        <v>4</v>
      </c>
    </row>
    <row r="56" spans="1:9" x14ac:dyDescent="0.35">
      <c r="A56" s="23" t="s">
        <v>16</v>
      </c>
      <c r="B56" s="24" t="s">
        <v>15</v>
      </c>
      <c r="C56" s="24" t="s">
        <v>11</v>
      </c>
      <c r="D56" s="24">
        <v>13</v>
      </c>
      <c r="E56" s="24">
        <v>0</v>
      </c>
      <c r="F56" s="25">
        <v>0</v>
      </c>
      <c r="G56" s="25">
        <v>7.69230769230769E-2</v>
      </c>
      <c r="H56" s="25">
        <v>0</v>
      </c>
      <c r="I56" s="26">
        <v>4</v>
      </c>
    </row>
    <row r="57" spans="1:9" x14ac:dyDescent="0.35">
      <c r="A57" s="27" t="s">
        <v>16</v>
      </c>
      <c r="B57" s="28" t="s">
        <v>15</v>
      </c>
      <c r="C57" s="28" t="s">
        <v>10</v>
      </c>
      <c r="D57" s="28">
        <v>13</v>
      </c>
      <c r="E57" s="28">
        <v>0</v>
      </c>
      <c r="F57" s="29">
        <v>0</v>
      </c>
      <c r="G57" s="29">
        <v>7.69230769230769E-2</v>
      </c>
      <c r="H57" s="29">
        <v>0</v>
      </c>
      <c r="I57" s="30">
        <v>4</v>
      </c>
    </row>
    <row r="58" spans="1:9" x14ac:dyDescent="0.35">
      <c r="A58" s="27" t="s">
        <v>16</v>
      </c>
      <c r="B58" s="28" t="s">
        <v>15</v>
      </c>
      <c r="C58" s="28" t="s">
        <v>12</v>
      </c>
      <c r="D58" s="28">
        <v>13</v>
      </c>
      <c r="E58" s="28">
        <v>0</v>
      </c>
      <c r="F58" s="29">
        <v>0</v>
      </c>
      <c r="G58" s="29">
        <v>7.69230769230769E-2</v>
      </c>
      <c r="H58" s="29">
        <v>0</v>
      </c>
      <c r="I58" s="30">
        <v>4</v>
      </c>
    </row>
    <row r="59" spans="1:9" x14ac:dyDescent="0.35">
      <c r="A59" s="27" t="s">
        <v>16</v>
      </c>
      <c r="B59" s="28" t="s">
        <v>15</v>
      </c>
      <c r="C59" s="28" t="s">
        <v>13</v>
      </c>
      <c r="D59" s="28">
        <v>13</v>
      </c>
      <c r="E59" s="28">
        <v>0</v>
      </c>
      <c r="F59" s="29">
        <v>0</v>
      </c>
      <c r="G59" s="29">
        <v>7.69230769230769E-2</v>
      </c>
      <c r="H59" s="29">
        <v>0</v>
      </c>
      <c r="I59" s="30">
        <v>4</v>
      </c>
    </row>
    <row r="60" spans="1:9" x14ac:dyDescent="0.35">
      <c r="A60" s="27" t="s">
        <v>16</v>
      </c>
      <c r="B60" s="28" t="s">
        <v>15</v>
      </c>
      <c r="C60" s="28" t="s">
        <v>14</v>
      </c>
      <c r="D60" s="28">
        <v>13</v>
      </c>
      <c r="E60" s="28">
        <v>0</v>
      </c>
      <c r="F60" s="29">
        <v>0</v>
      </c>
      <c r="G60" s="29">
        <v>7.69230769230769E-2</v>
      </c>
      <c r="H60" s="29">
        <v>0</v>
      </c>
      <c r="I60" s="30">
        <v>4</v>
      </c>
    </row>
    <row r="61" spans="1:9" x14ac:dyDescent="0.35">
      <c r="A61" s="58" t="s">
        <v>16</v>
      </c>
      <c r="B61" s="59" t="s">
        <v>15</v>
      </c>
      <c r="C61" s="59" t="s">
        <v>15</v>
      </c>
      <c r="D61" s="59">
        <v>13</v>
      </c>
      <c r="E61" s="59">
        <v>2</v>
      </c>
      <c r="F61" s="60">
        <v>7.69230769230769E-2</v>
      </c>
      <c r="G61" s="60">
        <v>7.69230769230769E-2</v>
      </c>
      <c r="H61" s="60">
        <v>1</v>
      </c>
      <c r="I61" s="61">
        <v>4</v>
      </c>
    </row>
    <row r="62" spans="1:9" x14ac:dyDescent="0.35">
      <c r="A62" s="5" t="s">
        <v>17</v>
      </c>
      <c r="B62" s="5" t="s">
        <v>10</v>
      </c>
      <c r="C62" s="5" t="s">
        <v>11</v>
      </c>
      <c r="D62" s="5">
        <v>145</v>
      </c>
      <c r="E62" s="5">
        <v>36</v>
      </c>
      <c r="F62" s="6">
        <v>0.12413793103448301</v>
      </c>
      <c r="G62" s="6">
        <v>1.5655172413793099</v>
      </c>
      <c r="H62" s="6">
        <v>7.9295154185022004E-2</v>
      </c>
      <c r="I62" s="42">
        <v>4</v>
      </c>
    </row>
    <row r="63" spans="1:9" x14ac:dyDescent="0.35">
      <c r="A63" s="62" t="s">
        <v>17</v>
      </c>
      <c r="B63" s="62" t="s">
        <v>10</v>
      </c>
      <c r="C63" s="62" t="s">
        <v>10</v>
      </c>
      <c r="D63" s="62">
        <v>145</v>
      </c>
      <c r="E63" s="62">
        <v>239</v>
      </c>
      <c r="F63" s="63">
        <v>0.82413793103448296</v>
      </c>
      <c r="G63" s="63">
        <v>1.5655172413793099</v>
      </c>
      <c r="H63" s="78">
        <v>0.52643171806167399</v>
      </c>
      <c r="I63" s="64">
        <v>4</v>
      </c>
    </row>
    <row r="64" spans="1:9" x14ac:dyDescent="0.35">
      <c r="A64" s="5" t="s">
        <v>17</v>
      </c>
      <c r="B64" s="5" t="s">
        <v>10</v>
      </c>
      <c r="C64" s="5" t="s">
        <v>12</v>
      </c>
      <c r="D64" s="5">
        <v>145</v>
      </c>
      <c r="E64" s="5">
        <v>100</v>
      </c>
      <c r="F64" s="6">
        <v>0.34482758620689702</v>
      </c>
      <c r="G64" s="6">
        <v>1.5655172413793099</v>
      </c>
      <c r="H64" s="79">
        <v>0.22026431718061701</v>
      </c>
      <c r="I64" s="42">
        <v>4</v>
      </c>
    </row>
    <row r="65" spans="1:9" x14ac:dyDescent="0.35">
      <c r="A65" s="5" t="s">
        <v>17</v>
      </c>
      <c r="B65" s="5" t="s">
        <v>10</v>
      </c>
      <c r="C65" s="5" t="s">
        <v>13</v>
      </c>
      <c r="D65" s="5">
        <v>145</v>
      </c>
      <c r="E65" s="5">
        <v>30</v>
      </c>
      <c r="F65" s="6">
        <v>0.10344827586206901</v>
      </c>
      <c r="G65" s="6">
        <v>1.5655172413793099</v>
      </c>
      <c r="H65" s="6">
        <v>6.6079295154184994E-2</v>
      </c>
      <c r="I65" s="42">
        <v>4</v>
      </c>
    </row>
    <row r="66" spans="1:9" x14ac:dyDescent="0.35">
      <c r="A66" s="5" t="s">
        <v>17</v>
      </c>
      <c r="B66" s="5" t="s">
        <v>10</v>
      </c>
      <c r="C66" s="5" t="s">
        <v>14</v>
      </c>
      <c r="D66" s="5">
        <v>145</v>
      </c>
      <c r="E66" s="5">
        <v>31</v>
      </c>
      <c r="F66" s="6">
        <v>0.10689655172413801</v>
      </c>
      <c r="G66" s="6">
        <v>1.5655172413793099</v>
      </c>
      <c r="H66" s="6">
        <v>6.8281938325991207E-2</v>
      </c>
      <c r="I66" s="42">
        <v>4</v>
      </c>
    </row>
    <row r="67" spans="1:9" x14ac:dyDescent="0.35">
      <c r="A67" s="5" t="s">
        <v>17</v>
      </c>
      <c r="B67" s="5" t="s">
        <v>10</v>
      </c>
      <c r="C67" s="5" t="s">
        <v>15</v>
      </c>
      <c r="D67" s="5">
        <v>145</v>
      </c>
      <c r="E67" s="5">
        <v>18</v>
      </c>
      <c r="F67" s="6">
        <v>6.2068965517241399E-2</v>
      </c>
      <c r="G67" s="6">
        <v>1.5655172413793099</v>
      </c>
      <c r="H67" s="6">
        <v>3.9647577092511002E-2</v>
      </c>
      <c r="I67" s="42">
        <v>4</v>
      </c>
    </row>
    <row r="68" spans="1:9" x14ac:dyDescent="0.35">
      <c r="A68" s="35" t="s">
        <v>17</v>
      </c>
      <c r="B68" s="36" t="s">
        <v>12</v>
      </c>
      <c r="C68" s="36" t="s">
        <v>11</v>
      </c>
      <c r="D68" s="36">
        <v>124</v>
      </c>
      <c r="E68" s="36">
        <v>20</v>
      </c>
      <c r="F68" s="37">
        <v>8.0645161290322606E-2</v>
      </c>
      <c r="G68" s="37">
        <v>1.2701612903225801</v>
      </c>
      <c r="H68" s="37">
        <v>6.3492063492063502E-2</v>
      </c>
      <c r="I68" s="38">
        <v>4</v>
      </c>
    </row>
    <row r="69" spans="1:9" x14ac:dyDescent="0.35">
      <c r="A69" s="39" t="s">
        <v>17</v>
      </c>
      <c r="B69" s="40" t="s">
        <v>12</v>
      </c>
      <c r="C69" s="40" t="s">
        <v>10</v>
      </c>
      <c r="D69" s="40">
        <v>124</v>
      </c>
      <c r="E69" s="40">
        <v>63</v>
      </c>
      <c r="F69" s="41">
        <v>0.25403225806451601</v>
      </c>
      <c r="G69" s="41">
        <v>1.2701612903225801</v>
      </c>
      <c r="H69" s="80">
        <v>0.2</v>
      </c>
      <c r="I69" s="42">
        <v>4</v>
      </c>
    </row>
    <row r="70" spans="1:9" x14ac:dyDescent="0.35">
      <c r="A70" s="65" t="s">
        <v>17</v>
      </c>
      <c r="B70" s="66" t="s">
        <v>12</v>
      </c>
      <c r="C70" s="66" t="s">
        <v>12</v>
      </c>
      <c r="D70" s="66">
        <v>124</v>
      </c>
      <c r="E70" s="66">
        <v>137</v>
      </c>
      <c r="F70" s="67">
        <v>0.55241935483870996</v>
      </c>
      <c r="G70" s="67">
        <v>1.2701612903225801</v>
      </c>
      <c r="H70" s="81">
        <v>0.43492063492063499</v>
      </c>
      <c r="I70" s="64">
        <v>4</v>
      </c>
    </row>
    <row r="71" spans="1:9" x14ac:dyDescent="0.35">
      <c r="A71" s="39" t="s">
        <v>17</v>
      </c>
      <c r="B71" s="40" t="s">
        <v>12</v>
      </c>
      <c r="C71" s="40" t="s">
        <v>13</v>
      </c>
      <c r="D71" s="40">
        <v>124</v>
      </c>
      <c r="E71" s="40">
        <v>37</v>
      </c>
      <c r="F71" s="41">
        <v>0.149193548387097</v>
      </c>
      <c r="G71" s="41">
        <v>1.2701612903225801</v>
      </c>
      <c r="H71" s="41">
        <v>0.117460317460317</v>
      </c>
      <c r="I71" s="42">
        <v>4</v>
      </c>
    </row>
    <row r="72" spans="1:9" x14ac:dyDescent="0.35">
      <c r="A72" s="39" t="s">
        <v>17</v>
      </c>
      <c r="B72" s="40" t="s">
        <v>12</v>
      </c>
      <c r="C72" s="40" t="s">
        <v>14</v>
      </c>
      <c r="D72" s="40">
        <v>124</v>
      </c>
      <c r="E72" s="40">
        <v>28</v>
      </c>
      <c r="F72" s="41">
        <v>0.112903225806452</v>
      </c>
      <c r="G72" s="41">
        <v>1.2701612903225801</v>
      </c>
      <c r="H72" s="41">
        <v>8.8888888888888906E-2</v>
      </c>
      <c r="I72" s="42">
        <v>4</v>
      </c>
    </row>
    <row r="73" spans="1:9" x14ac:dyDescent="0.35">
      <c r="A73" s="43" t="s">
        <v>17</v>
      </c>
      <c r="B73" s="44" t="s">
        <v>12</v>
      </c>
      <c r="C73" s="44" t="s">
        <v>15</v>
      </c>
      <c r="D73" s="44">
        <v>124</v>
      </c>
      <c r="E73" s="44">
        <v>30</v>
      </c>
      <c r="F73" s="45">
        <v>0.120967741935484</v>
      </c>
      <c r="G73" s="45">
        <v>1.2701612903225801</v>
      </c>
      <c r="H73" s="45">
        <v>9.5238095238095205E-2</v>
      </c>
      <c r="I73" s="46">
        <v>4</v>
      </c>
    </row>
    <row r="74" spans="1:9" x14ac:dyDescent="0.35">
      <c r="A74" s="5" t="s">
        <v>17</v>
      </c>
      <c r="B74" s="5" t="s">
        <v>13</v>
      </c>
      <c r="C74" s="5" t="s">
        <v>11</v>
      </c>
      <c r="D74" s="5">
        <v>94</v>
      </c>
      <c r="E74" s="5">
        <v>38</v>
      </c>
      <c r="F74" s="6">
        <v>0.20212765957446799</v>
      </c>
      <c r="G74" s="6">
        <v>1.09574468085106</v>
      </c>
      <c r="H74" s="82">
        <v>0.18446601941747601</v>
      </c>
      <c r="I74" s="42">
        <v>4</v>
      </c>
    </row>
    <row r="75" spans="1:9" x14ac:dyDescent="0.35">
      <c r="A75" s="5" t="s">
        <v>17</v>
      </c>
      <c r="B75" s="5" t="s">
        <v>13</v>
      </c>
      <c r="C75" s="5" t="s">
        <v>10</v>
      </c>
      <c r="D75" s="5">
        <v>94</v>
      </c>
      <c r="E75" s="5">
        <v>16</v>
      </c>
      <c r="F75" s="6">
        <v>8.5106382978723402E-2</v>
      </c>
      <c r="G75" s="6">
        <v>1.09574468085106</v>
      </c>
      <c r="H75" s="6">
        <v>7.7669902912621394E-2</v>
      </c>
      <c r="I75" s="42">
        <v>4</v>
      </c>
    </row>
    <row r="76" spans="1:9" x14ac:dyDescent="0.35">
      <c r="A76" s="5" t="s">
        <v>17</v>
      </c>
      <c r="B76" s="5" t="s">
        <v>13</v>
      </c>
      <c r="C76" s="5" t="s">
        <v>12</v>
      </c>
      <c r="D76" s="5">
        <v>94</v>
      </c>
      <c r="E76" s="5">
        <v>35</v>
      </c>
      <c r="F76" s="6">
        <v>0.18617021276595699</v>
      </c>
      <c r="G76" s="6">
        <v>1.09574468085106</v>
      </c>
      <c r="H76" s="6">
        <v>0.16990291262135901</v>
      </c>
      <c r="I76" s="42">
        <v>4</v>
      </c>
    </row>
    <row r="77" spans="1:9" x14ac:dyDescent="0.35">
      <c r="A77" s="62" t="s">
        <v>17</v>
      </c>
      <c r="B77" s="62" t="s">
        <v>13</v>
      </c>
      <c r="C77" s="62" t="s">
        <v>13</v>
      </c>
      <c r="D77" s="62">
        <v>94</v>
      </c>
      <c r="E77" s="62">
        <v>62</v>
      </c>
      <c r="F77" s="63">
        <v>0.329787234042553</v>
      </c>
      <c r="G77" s="63">
        <v>1.09574468085106</v>
      </c>
      <c r="H77" s="78">
        <v>0.30097087378640802</v>
      </c>
      <c r="I77" s="64">
        <v>4</v>
      </c>
    </row>
    <row r="78" spans="1:9" x14ac:dyDescent="0.35">
      <c r="A78" s="5" t="s">
        <v>17</v>
      </c>
      <c r="B78" s="5" t="s">
        <v>13</v>
      </c>
      <c r="C78" s="5" t="s">
        <v>14</v>
      </c>
      <c r="D78" s="5">
        <v>94</v>
      </c>
      <c r="E78" s="5">
        <v>29</v>
      </c>
      <c r="F78" s="6">
        <v>0.154255319148936</v>
      </c>
      <c r="G78" s="6">
        <v>1.09574468085106</v>
      </c>
      <c r="H78" s="6">
        <v>0.14077669902912601</v>
      </c>
      <c r="I78" s="42">
        <v>4</v>
      </c>
    </row>
    <row r="79" spans="1:9" x14ac:dyDescent="0.35">
      <c r="A79" s="5" t="s">
        <v>17</v>
      </c>
      <c r="B79" s="5" t="s">
        <v>13</v>
      </c>
      <c r="C79" s="5" t="s">
        <v>15</v>
      </c>
      <c r="D79" s="5">
        <v>94</v>
      </c>
      <c r="E79" s="5">
        <v>26</v>
      </c>
      <c r="F79" s="6">
        <v>0.13829787234042601</v>
      </c>
      <c r="G79" s="6">
        <v>1.09574468085106</v>
      </c>
      <c r="H79" s="6">
        <v>0.12621359223301001</v>
      </c>
      <c r="I79" s="42">
        <v>4</v>
      </c>
    </row>
    <row r="80" spans="1:9" x14ac:dyDescent="0.35">
      <c r="A80" s="35" t="s">
        <v>17</v>
      </c>
      <c r="B80" s="36" t="s">
        <v>14</v>
      </c>
      <c r="C80" s="36" t="s">
        <v>11</v>
      </c>
      <c r="D80" s="36">
        <v>57</v>
      </c>
      <c r="E80" s="36">
        <v>18</v>
      </c>
      <c r="F80" s="37">
        <v>0.157894736842105</v>
      </c>
      <c r="G80" s="37">
        <v>1.3684210526315801</v>
      </c>
      <c r="H80" s="37">
        <v>0.115384615384615</v>
      </c>
      <c r="I80" s="38">
        <v>4</v>
      </c>
    </row>
    <row r="81" spans="1:9" x14ac:dyDescent="0.35">
      <c r="A81" s="39" t="s">
        <v>17</v>
      </c>
      <c r="B81" s="40" t="s">
        <v>14</v>
      </c>
      <c r="C81" s="40" t="s">
        <v>10</v>
      </c>
      <c r="D81" s="40">
        <v>57</v>
      </c>
      <c r="E81" s="40">
        <v>11</v>
      </c>
      <c r="F81" s="41">
        <v>9.6491228070175405E-2</v>
      </c>
      <c r="G81" s="41">
        <v>1.3684210526315801</v>
      </c>
      <c r="H81" s="41">
        <v>7.0512820512820498E-2</v>
      </c>
      <c r="I81" s="42">
        <v>4</v>
      </c>
    </row>
    <row r="82" spans="1:9" x14ac:dyDescent="0.35">
      <c r="A82" s="39" t="s">
        <v>17</v>
      </c>
      <c r="B82" s="40" t="s">
        <v>14</v>
      </c>
      <c r="C82" s="40" t="s">
        <v>12</v>
      </c>
      <c r="D82" s="40">
        <v>57</v>
      </c>
      <c r="E82" s="40">
        <v>13</v>
      </c>
      <c r="F82" s="41">
        <v>0.114035087719298</v>
      </c>
      <c r="G82" s="41">
        <v>1.3684210526315801</v>
      </c>
      <c r="H82" s="41">
        <v>8.3333333333333301E-2</v>
      </c>
      <c r="I82" s="42">
        <v>4</v>
      </c>
    </row>
    <row r="83" spans="1:9" x14ac:dyDescent="0.35">
      <c r="A83" s="39" t="s">
        <v>17</v>
      </c>
      <c r="B83" s="40" t="s">
        <v>14</v>
      </c>
      <c r="C83" s="40" t="s">
        <v>13</v>
      </c>
      <c r="D83" s="40">
        <v>57</v>
      </c>
      <c r="E83" s="40">
        <v>44</v>
      </c>
      <c r="F83" s="41">
        <v>0.38596491228070201</v>
      </c>
      <c r="G83" s="41">
        <v>1.3684210526315801</v>
      </c>
      <c r="H83" s="80">
        <v>0.28205128205128199</v>
      </c>
      <c r="I83" s="42">
        <v>4</v>
      </c>
    </row>
    <row r="84" spans="1:9" x14ac:dyDescent="0.35">
      <c r="A84" s="65" t="s">
        <v>17</v>
      </c>
      <c r="B84" s="66" t="s">
        <v>14</v>
      </c>
      <c r="C84" s="66" t="s">
        <v>14</v>
      </c>
      <c r="D84" s="66">
        <v>57</v>
      </c>
      <c r="E84" s="66">
        <v>45</v>
      </c>
      <c r="F84" s="67">
        <v>0.394736842105263</v>
      </c>
      <c r="G84" s="67">
        <v>1.3684210526315801</v>
      </c>
      <c r="H84" s="81">
        <v>0.28846153846153799</v>
      </c>
      <c r="I84" s="64">
        <v>4</v>
      </c>
    </row>
    <row r="85" spans="1:9" x14ac:dyDescent="0.35">
      <c r="A85" s="43" t="s">
        <v>17</v>
      </c>
      <c r="B85" s="44" t="s">
        <v>14</v>
      </c>
      <c r="C85" s="44" t="s">
        <v>15</v>
      </c>
      <c r="D85" s="44">
        <v>57</v>
      </c>
      <c r="E85" s="44">
        <v>25</v>
      </c>
      <c r="F85" s="45">
        <v>0.21929824561403499</v>
      </c>
      <c r="G85" s="45">
        <v>1.3684210526315801</v>
      </c>
      <c r="H85" s="45">
        <v>0.16025641025640999</v>
      </c>
      <c r="I85" s="46">
        <v>4</v>
      </c>
    </row>
    <row r="86" spans="1:9" x14ac:dyDescent="0.35">
      <c r="A86" s="5" t="s">
        <v>17</v>
      </c>
      <c r="B86" s="5" t="s">
        <v>15</v>
      </c>
      <c r="C86" s="5" t="s">
        <v>11</v>
      </c>
      <c r="D86" s="5">
        <v>13</v>
      </c>
      <c r="E86" s="5">
        <v>1</v>
      </c>
      <c r="F86" s="6">
        <v>3.8461538461538498E-2</v>
      </c>
      <c r="G86" s="6">
        <v>1.7307692307692299</v>
      </c>
      <c r="H86" s="6">
        <v>2.2222222222222199E-2</v>
      </c>
      <c r="I86" s="42">
        <v>4</v>
      </c>
    </row>
    <row r="87" spans="1:9" x14ac:dyDescent="0.35">
      <c r="A87" s="5" t="s">
        <v>17</v>
      </c>
      <c r="B87" s="5" t="s">
        <v>15</v>
      </c>
      <c r="C87" s="5" t="s">
        <v>10</v>
      </c>
      <c r="D87" s="5">
        <v>13</v>
      </c>
      <c r="E87" s="5">
        <v>21</v>
      </c>
      <c r="F87" s="6">
        <v>0.80769230769230804</v>
      </c>
      <c r="G87" s="6">
        <v>1.7307692307692299</v>
      </c>
      <c r="H87" s="79">
        <v>0.46666666666666701</v>
      </c>
      <c r="I87" s="42">
        <v>4</v>
      </c>
    </row>
    <row r="88" spans="1:9" x14ac:dyDescent="0.35">
      <c r="A88" s="5" t="s">
        <v>17</v>
      </c>
      <c r="B88" s="5" t="s">
        <v>15</v>
      </c>
      <c r="C88" s="5" t="s">
        <v>12</v>
      </c>
      <c r="D88" s="5">
        <v>13</v>
      </c>
      <c r="E88" s="5">
        <v>8</v>
      </c>
      <c r="F88" s="6">
        <v>0.30769230769230799</v>
      </c>
      <c r="G88" s="6">
        <v>1.7307692307692299</v>
      </c>
      <c r="H88" s="6">
        <v>0.17777777777777801</v>
      </c>
      <c r="I88" s="42">
        <v>4</v>
      </c>
    </row>
    <row r="89" spans="1:9" x14ac:dyDescent="0.35">
      <c r="A89" s="5" t="s">
        <v>17</v>
      </c>
      <c r="B89" s="5" t="s">
        <v>15</v>
      </c>
      <c r="C89" s="5" t="s">
        <v>13</v>
      </c>
      <c r="D89" s="5">
        <v>13</v>
      </c>
      <c r="E89" s="5">
        <v>4</v>
      </c>
      <c r="F89" s="6">
        <v>0.15384615384615399</v>
      </c>
      <c r="G89" s="6">
        <v>1.7307692307692299</v>
      </c>
      <c r="H89" s="6">
        <v>8.8888888888888906E-2</v>
      </c>
      <c r="I89" s="42">
        <v>4</v>
      </c>
    </row>
    <row r="90" spans="1:9" x14ac:dyDescent="0.35">
      <c r="A90" s="5" t="s">
        <v>17</v>
      </c>
      <c r="B90" s="5" t="s">
        <v>15</v>
      </c>
      <c r="C90" s="5" t="s">
        <v>14</v>
      </c>
      <c r="D90" s="5">
        <v>13</v>
      </c>
      <c r="E90" s="5">
        <v>6</v>
      </c>
      <c r="F90" s="6">
        <v>0.230769230769231</v>
      </c>
      <c r="G90" s="6">
        <v>1.7307692307692299</v>
      </c>
      <c r="H90" s="6">
        <v>0.133333333333333</v>
      </c>
      <c r="I90" s="42">
        <v>4</v>
      </c>
    </row>
    <row r="91" spans="1:9" x14ac:dyDescent="0.35">
      <c r="A91" s="68" t="s">
        <v>17</v>
      </c>
      <c r="B91" s="68" t="s">
        <v>15</v>
      </c>
      <c r="C91" s="68" t="s">
        <v>15</v>
      </c>
      <c r="D91" s="68">
        <v>13</v>
      </c>
      <c r="E91" s="68">
        <v>5</v>
      </c>
      <c r="F91" s="69">
        <v>0.19230769230769201</v>
      </c>
      <c r="G91" s="69">
        <v>1.7307692307692299</v>
      </c>
      <c r="H91" s="69">
        <v>0.11111111111111099</v>
      </c>
      <c r="I91" s="70">
        <v>4</v>
      </c>
    </row>
  </sheetData>
  <mergeCells count="5">
    <mergeCell ref="Q10:Q11"/>
    <mergeCell ref="U10:U11"/>
    <mergeCell ref="R10:R11"/>
    <mergeCell ref="S10:S11"/>
    <mergeCell ref="T10:T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cm_mean_degree_age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Quesada, Maria</dc:creator>
  <cp:lastModifiedBy>Garcia Quesada, Maria</cp:lastModifiedBy>
  <dcterms:created xsi:type="dcterms:W3CDTF">2022-11-17T21:19:27Z</dcterms:created>
  <dcterms:modified xsi:type="dcterms:W3CDTF">2022-12-09T15:29:25Z</dcterms:modified>
</cp:coreProperties>
</file>